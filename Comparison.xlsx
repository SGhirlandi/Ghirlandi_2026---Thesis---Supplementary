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ghirlandi_tudelft_nl/Documents/Thesis/S_Ghirlandi - Thesis review/Code/dMFA/Comparison/"/>
    </mc:Choice>
  </mc:AlternateContent>
  <xr:revisionPtr revIDLastSave="35" documentId="13_ncr:1_{46797BAA-E08B-814F-962F-7B7D3D0D2F27}" xr6:coauthVersionLast="47" xr6:coauthVersionMax="47" xr10:uidLastSave="{BC7264BB-D02B-5746-881C-1D79C0A3D0CA}"/>
  <bookViews>
    <workbookView xWindow="1440" yWindow="680" windowWidth="28800" windowHeight="17200" activeTab="1" xr2:uid="{D8148A07-88D8-6E47-8D3F-A58618D6E53C}"/>
  </bookViews>
  <sheets>
    <sheet name="planes" sheetId="1" r:id="rId1"/>
    <sheet name="titanium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G38" i="2"/>
  <c r="F44" i="3"/>
  <c r="D42" i="3"/>
  <c r="D44" i="3" s="1"/>
  <c r="G40" i="3"/>
  <c r="F40" i="3"/>
  <c r="E40" i="3"/>
  <c r="D40" i="3"/>
  <c r="C40" i="3"/>
  <c r="B40" i="3"/>
  <c r="F42" i="3" s="1"/>
</calcChain>
</file>

<file path=xl/sharedStrings.xml><?xml version="1.0" encoding="utf-8"?>
<sst xmlns="http://schemas.openxmlformats.org/spreadsheetml/2006/main" count="12" uniqueCount="4">
  <si>
    <t>inflow_baseline</t>
  </si>
  <si>
    <t>outflow_baseline</t>
  </si>
  <si>
    <t>inflow_LTE</t>
  </si>
  <si>
    <t>outflow_LTE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</si>
</sst>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3305-4A4B-5446-8AD6-B74C2F2B8060}">
  <dimension ref="A1:E38"/>
  <sheetViews>
    <sheetView topLeftCell="A10" workbookViewId="0">
      <selection activeCell="J34" sqref="J34"/>
    </sheetView>
  </sheetViews>
  <sheetFormatPr baseColWidth="10" defaultRowHeight="16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2024</v>
      </c>
      <c r="B2">
        <v>230</v>
      </c>
      <c r="C2">
        <v>210</v>
      </c>
      <c r="D2">
        <v>230</v>
      </c>
      <c r="E2">
        <v>210</v>
      </c>
    </row>
    <row r="3" spans="1:5" x14ac:dyDescent="0.2">
      <c r="A3" s="1">
        <v>2025</v>
      </c>
      <c r="B3">
        <v>236</v>
      </c>
      <c r="C3">
        <v>213</v>
      </c>
      <c r="D3">
        <v>236</v>
      </c>
      <c r="E3">
        <v>213</v>
      </c>
    </row>
    <row r="4" spans="1:5" x14ac:dyDescent="0.2">
      <c r="A4" s="1">
        <v>2026</v>
      </c>
      <c r="B4">
        <v>242</v>
      </c>
      <c r="C4">
        <v>215</v>
      </c>
      <c r="D4">
        <v>242</v>
      </c>
      <c r="E4">
        <v>215</v>
      </c>
    </row>
    <row r="5" spans="1:5" x14ac:dyDescent="0.2">
      <c r="A5" s="1">
        <v>2027</v>
      </c>
      <c r="B5">
        <v>248</v>
      </c>
      <c r="C5">
        <v>217</v>
      </c>
      <c r="D5">
        <v>248</v>
      </c>
      <c r="E5">
        <v>217</v>
      </c>
    </row>
    <row r="6" spans="1:5" x14ac:dyDescent="0.2">
      <c r="A6" s="1">
        <v>2028</v>
      </c>
      <c r="B6">
        <v>255</v>
      </c>
      <c r="C6">
        <v>219</v>
      </c>
      <c r="D6">
        <v>255</v>
      </c>
      <c r="E6">
        <v>219</v>
      </c>
    </row>
    <row r="7" spans="1:5" x14ac:dyDescent="0.2">
      <c r="A7" s="1">
        <v>2029</v>
      </c>
      <c r="B7">
        <v>261</v>
      </c>
      <c r="C7">
        <v>221</v>
      </c>
      <c r="D7">
        <v>261</v>
      </c>
      <c r="E7">
        <v>221</v>
      </c>
    </row>
    <row r="8" spans="1:5" x14ac:dyDescent="0.2">
      <c r="A8" s="1">
        <v>2030</v>
      </c>
      <c r="B8">
        <v>268</v>
      </c>
      <c r="C8">
        <v>224</v>
      </c>
      <c r="D8">
        <v>268</v>
      </c>
      <c r="E8">
        <v>224</v>
      </c>
    </row>
    <row r="9" spans="1:5" x14ac:dyDescent="0.2">
      <c r="A9" s="1">
        <v>2031</v>
      </c>
      <c r="B9">
        <v>275</v>
      </c>
      <c r="C9">
        <v>226</v>
      </c>
      <c r="D9">
        <v>275</v>
      </c>
      <c r="E9">
        <v>226</v>
      </c>
    </row>
    <row r="10" spans="1:5" x14ac:dyDescent="0.2">
      <c r="A10" s="1">
        <v>2032</v>
      </c>
      <c r="B10">
        <v>282</v>
      </c>
      <c r="C10">
        <v>228</v>
      </c>
      <c r="D10">
        <v>281</v>
      </c>
      <c r="E10">
        <v>227</v>
      </c>
    </row>
    <row r="11" spans="1:5" x14ac:dyDescent="0.2">
      <c r="A11" s="1">
        <v>2033</v>
      </c>
      <c r="B11">
        <v>288</v>
      </c>
      <c r="C11">
        <v>230</v>
      </c>
      <c r="D11">
        <v>287</v>
      </c>
      <c r="E11">
        <v>229</v>
      </c>
    </row>
    <row r="12" spans="1:5" x14ac:dyDescent="0.2">
      <c r="A12" s="1">
        <v>2034</v>
      </c>
      <c r="B12">
        <v>295</v>
      </c>
      <c r="C12">
        <v>232</v>
      </c>
      <c r="D12">
        <v>293</v>
      </c>
      <c r="E12">
        <v>231</v>
      </c>
    </row>
    <row r="13" spans="1:5" x14ac:dyDescent="0.2">
      <c r="A13" s="1">
        <v>2035</v>
      </c>
      <c r="B13">
        <v>301</v>
      </c>
      <c r="C13">
        <v>234</v>
      </c>
      <c r="D13">
        <v>299</v>
      </c>
      <c r="E13">
        <v>232</v>
      </c>
    </row>
    <row r="14" spans="1:5" x14ac:dyDescent="0.2">
      <c r="A14" s="1">
        <v>2036</v>
      </c>
      <c r="B14">
        <v>306</v>
      </c>
      <c r="C14">
        <v>236</v>
      </c>
      <c r="D14">
        <v>303</v>
      </c>
      <c r="E14">
        <v>234</v>
      </c>
    </row>
    <row r="15" spans="1:5" x14ac:dyDescent="0.2">
      <c r="A15" s="1">
        <v>2037</v>
      </c>
      <c r="B15">
        <v>311</v>
      </c>
      <c r="C15">
        <v>239</v>
      </c>
      <c r="D15">
        <v>307</v>
      </c>
      <c r="E15">
        <v>235</v>
      </c>
    </row>
    <row r="16" spans="1:5" x14ac:dyDescent="0.2">
      <c r="A16" s="1">
        <v>2038</v>
      </c>
      <c r="B16">
        <v>315</v>
      </c>
      <c r="C16">
        <v>241</v>
      </c>
      <c r="D16">
        <v>311</v>
      </c>
      <c r="E16">
        <v>236</v>
      </c>
    </row>
    <row r="17" spans="1:5" x14ac:dyDescent="0.2">
      <c r="A17" s="1">
        <v>2039</v>
      </c>
      <c r="B17">
        <v>319</v>
      </c>
      <c r="C17">
        <v>243</v>
      </c>
      <c r="D17">
        <v>313</v>
      </c>
      <c r="E17">
        <v>237</v>
      </c>
    </row>
    <row r="18" spans="1:5" x14ac:dyDescent="0.2">
      <c r="A18" s="1">
        <v>2040</v>
      </c>
      <c r="B18">
        <v>322</v>
      </c>
      <c r="C18">
        <v>245</v>
      </c>
      <c r="D18">
        <v>315</v>
      </c>
      <c r="E18">
        <v>238</v>
      </c>
    </row>
    <row r="19" spans="1:5" x14ac:dyDescent="0.2">
      <c r="A19" s="1">
        <v>2041</v>
      </c>
      <c r="B19">
        <v>324</v>
      </c>
      <c r="C19">
        <v>247</v>
      </c>
      <c r="D19">
        <v>316</v>
      </c>
      <c r="E19">
        <v>239</v>
      </c>
    </row>
    <row r="20" spans="1:5" x14ac:dyDescent="0.2">
      <c r="A20" s="1">
        <v>2042</v>
      </c>
      <c r="B20">
        <v>326</v>
      </c>
      <c r="C20">
        <v>250</v>
      </c>
      <c r="D20">
        <v>315</v>
      </c>
      <c r="E20">
        <v>239</v>
      </c>
    </row>
    <row r="21" spans="1:5" x14ac:dyDescent="0.2">
      <c r="A21" s="1">
        <v>2043</v>
      </c>
      <c r="B21">
        <v>327</v>
      </c>
      <c r="C21">
        <v>252</v>
      </c>
      <c r="D21">
        <v>314</v>
      </c>
      <c r="E21">
        <v>240</v>
      </c>
    </row>
    <row r="22" spans="1:5" x14ac:dyDescent="0.2">
      <c r="A22" s="1">
        <v>2044</v>
      </c>
      <c r="B22">
        <v>327</v>
      </c>
      <c r="C22">
        <v>254</v>
      </c>
      <c r="D22">
        <v>312</v>
      </c>
      <c r="E22">
        <v>240</v>
      </c>
    </row>
    <row r="23" spans="1:5" x14ac:dyDescent="0.2">
      <c r="A23" s="1">
        <v>2045</v>
      </c>
      <c r="B23">
        <v>326</v>
      </c>
      <c r="C23">
        <v>256</v>
      </c>
      <c r="D23">
        <v>310</v>
      </c>
      <c r="E23">
        <v>240</v>
      </c>
    </row>
    <row r="24" spans="1:5" x14ac:dyDescent="0.2">
      <c r="A24" s="1">
        <v>2046</v>
      </c>
      <c r="B24">
        <v>325</v>
      </c>
      <c r="C24">
        <v>259</v>
      </c>
      <c r="D24">
        <v>306</v>
      </c>
      <c r="E24">
        <v>240</v>
      </c>
    </row>
    <row r="25" spans="1:5" x14ac:dyDescent="0.2">
      <c r="A25" s="1">
        <v>2047</v>
      </c>
      <c r="B25">
        <v>323</v>
      </c>
      <c r="C25">
        <v>261</v>
      </c>
      <c r="D25">
        <v>302</v>
      </c>
      <c r="E25">
        <v>239</v>
      </c>
    </row>
    <row r="26" spans="1:5" x14ac:dyDescent="0.2">
      <c r="A26" s="1">
        <v>2048</v>
      </c>
      <c r="B26">
        <v>321</v>
      </c>
      <c r="C26">
        <v>263</v>
      </c>
      <c r="D26">
        <v>297</v>
      </c>
      <c r="E26">
        <v>239</v>
      </c>
    </row>
    <row r="27" spans="1:5" x14ac:dyDescent="0.2">
      <c r="A27" s="1">
        <v>2049</v>
      </c>
      <c r="B27">
        <v>319</v>
      </c>
      <c r="C27">
        <v>266</v>
      </c>
      <c r="D27">
        <v>292</v>
      </c>
      <c r="E27">
        <v>239</v>
      </c>
    </row>
    <row r="28" spans="1:5" x14ac:dyDescent="0.2">
      <c r="A28" s="1">
        <v>2050</v>
      </c>
      <c r="B28">
        <v>317</v>
      </c>
      <c r="C28">
        <v>268</v>
      </c>
      <c r="D28">
        <v>287</v>
      </c>
      <c r="E28">
        <v>238</v>
      </c>
    </row>
    <row r="29" spans="1:5" x14ac:dyDescent="0.2">
      <c r="A29" s="1">
        <v>2051</v>
      </c>
      <c r="B29">
        <v>315</v>
      </c>
      <c r="C29">
        <v>270</v>
      </c>
      <c r="D29">
        <v>282</v>
      </c>
      <c r="E29">
        <v>238</v>
      </c>
    </row>
    <row r="30" spans="1:5" x14ac:dyDescent="0.2">
      <c r="A30" s="1">
        <v>2052</v>
      </c>
      <c r="B30">
        <v>312</v>
      </c>
      <c r="C30">
        <v>273</v>
      </c>
      <c r="D30">
        <v>277</v>
      </c>
      <c r="E30">
        <v>237</v>
      </c>
    </row>
    <row r="31" spans="1:5" x14ac:dyDescent="0.2">
      <c r="A31" s="1">
        <v>2053</v>
      </c>
      <c r="B31">
        <v>310</v>
      </c>
      <c r="C31">
        <v>275</v>
      </c>
      <c r="D31">
        <v>272</v>
      </c>
      <c r="E31">
        <v>236</v>
      </c>
    </row>
    <row r="32" spans="1:5" x14ac:dyDescent="0.2">
      <c r="A32" s="1">
        <v>2054</v>
      </c>
      <c r="B32">
        <v>308</v>
      </c>
      <c r="C32">
        <v>277</v>
      </c>
      <c r="D32">
        <v>267</v>
      </c>
      <c r="E32">
        <v>236</v>
      </c>
    </row>
    <row r="33" spans="1:5" x14ac:dyDescent="0.2">
      <c r="A33" s="1">
        <v>2055</v>
      </c>
      <c r="B33">
        <v>306</v>
      </c>
      <c r="C33">
        <v>279</v>
      </c>
      <c r="D33">
        <v>262</v>
      </c>
      <c r="E33">
        <v>235</v>
      </c>
    </row>
    <row r="34" spans="1:5" x14ac:dyDescent="0.2">
      <c r="A34" s="1">
        <v>2056</v>
      </c>
      <c r="B34">
        <v>305</v>
      </c>
      <c r="C34">
        <v>282</v>
      </c>
      <c r="D34">
        <v>258</v>
      </c>
      <c r="E34">
        <v>235</v>
      </c>
    </row>
    <row r="35" spans="1:5" x14ac:dyDescent="0.2">
      <c r="A35" s="1">
        <v>2057</v>
      </c>
      <c r="B35">
        <v>304</v>
      </c>
      <c r="C35">
        <v>284</v>
      </c>
      <c r="D35">
        <v>254</v>
      </c>
      <c r="E35">
        <v>235</v>
      </c>
    </row>
    <row r="36" spans="1:5" x14ac:dyDescent="0.2">
      <c r="A36" s="1">
        <v>2058</v>
      </c>
      <c r="B36">
        <v>303</v>
      </c>
      <c r="C36">
        <v>286</v>
      </c>
      <c r="D36">
        <v>251</v>
      </c>
      <c r="E36">
        <v>234</v>
      </c>
    </row>
    <row r="37" spans="1:5" x14ac:dyDescent="0.2">
      <c r="A37" s="1">
        <v>2059</v>
      </c>
      <c r="B37">
        <v>302</v>
      </c>
      <c r="C37">
        <v>288</v>
      </c>
      <c r="D37">
        <v>248</v>
      </c>
      <c r="E37">
        <v>234</v>
      </c>
    </row>
    <row r="38" spans="1:5" x14ac:dyDescent="0.2">
      <c r="A38" s="1">
        <v>2060</v>
      </c>
      <c r="B38">
        <v>301</v>
      </c>
      <c r="C38">
        <v>290</v>
      </c>
      <c r="D38">
        <v>246</v>
      </c>
      <c r="E38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FC7B-809F-D04F-9D3B-6CC3C2FB9234}">
  <dimension ref="A1:H38"/>
  <sheetViews>
    <sheetView tabSelected="1" topLeftCell="A2" workbookViewId="0">
      <selection activeCell="H38" sqref="H38"/>
    </sheetView>
  </sheetViews>
  <sheetFormatPr baseColWidth="10" defaultRowHeight="16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2024</v>
      </c>
      <c r="B2">
        <v>1577</v>
      </c>
      <c r="C2">
        <v>601</v>
      </c>
      <c r="D2">
        <v>1577</v>
      </c>
      <c r="E2">
        <v>601</v>
      </c>
    </row>
    <row r="3" spans="1:5" x14ac:dyDescent="0.2">
      <c r="A3" s="1">
        <v>2025</v>
      </c>
      <c r="B3">
        <v>1753</v>
      </c>
      <c r="C3">
        <v>634</v>
      </c>
      <c r="D3">
        <v>1753</v>
      </c>
      <c r="E3">
        <v>634</v>
      </c>
    </row>
    <row r="4" spans="1:5" x14ac:dyDescent="0.2">
      <c r="A4" s="1">
        <v>2026</v>
      </c>
      <c r="B4">
        <v>1945</v>
      </c>
      <c r="C4">
        <v>670</v>
      </c>
      <c r="D4">
        <v>1945</v>
      </c>
      <c r="E4">
        <v>670</v>
      </c>
    </row>
    <row r="5" spans="1:5" x14ac:dyDescent="0.2">
      <c r="A5" s="1">
        <v>2027</v>
      </c>
      <c r="B5">
        <v>2002</v>
      </c>
      <c r="C5">
        <v>708</v>
      </c>
      <c r="D5">
        <v>2002</v>
      </c>
      <c r="E5">
        <v>708</v>
      </c>
    </row>
    <row r="6" spans="1:5" x14ac:dyDescent="0.2">
      <c r="A6" s="1">
        <v>2028</v>
      </c>
      <c r="B6">
        <v>2062</v>
      </c>
      <c r="C6">
        <v>747</v>
      </c>
      <c r="D6">
        <v>2062</v>
      </c>
      <c r="E6">
        <v>747</v>
      </c>
    </row>
    <row r="7" spans="1:5" x14ac:dyDescent="0.2">
      <c r="A7" s="1">
        <v>2029</v>
      </c>
      <c r="B7">
        <v>2124</v>
      </c>
      <c r="C7">
        <v>788</v>
      </c>
      <c r="D7">
        <v>2124</v>
      </c>
      <c r="E7">
        <v>788</v>
      </c>
    </row>
    <row r="8" spans="1:5" x14ac:dyDescent="0.2">
      <c r="A8" s="1">
        <v>2030</v>
      </c>
      <c r="B8">
        <v>2186</v>
      </c>
      <c r="C8">
        <v>831</v>
      </c>
      <c r="D8">
        <v>2186</v>
      </c>
      <c r="E8">
        <v>831</v>
      </c>
    </row>
    <row r="9" spans="1:5" x14ac:dyDescent="0.2">
      <c r="A9" s="1">
        <v>2031</v>
      </c>
      <c r="B9">
        <v>2248</v>
      </c>
      <c r="C9">
        <v>875</v>
      </c>
      <c r="D9">
        <v>2246</v>
      </c>
      <c r="E9">
        <v>873</v>
      </c>
    </row>
    <row r="10" spans="1:5" x14ac:dyDescent="0.2">
      <c r="A10" s="1">
        <v>2032</v>
      </c>
      <c r="B10">
        <v>2311</v>
      </c>
      <c r="C10">
        <v>921</v>
      </c>
      <c r="D10">
        <v>2306</v>
      </c>
      <c r="E10">
        <v>917</v>
      </c>
    </row>
    <row r="11" spans="1:5" x14ac:dyDescent="0.2">
      <c r="A11" s="1">
        <v>2033</v>
      </c>
      <c r="B11">
        <v>2371</v>
      </c>
      <c r="C11">
        <v>968</v>
      </c>
      <c r="D11">
        <v>2364</v>
      </c>
      <c r="E11">
        <v>961</v>
      </c>
    </row>
    <row r="12" spans="1:5" x14ac:dyDescent="0.2">
      <c r="A12" s="1">
        <v>2034</v>
      </c>
      <c r="B12">
        <v>2431</v>
      </c>
      <c r="C12">
        <v>1017</v>
      </c>
      <c r="D12">
        <v>2420</v>
      </c>
      <c r="E12">
        <v>1005</v>
      </c>
    </row>
    <row r="13" spans="1:5" x14ac:dyDescent="0.2">
      <c r="A13" s="1">
        <v>2035</v>
      </c>
      <c r="B13">
        <v>2533</v>
      </c>
      <c r="C13">
        <v>1067</v>
      </c>
      <c r="D13">
        <v>2516</v>
      </c>
      <c r="E13">
        <v>1050</v>
      </c>
    </row>
    <row r="14" spans="1:5" x14ac:dyDescent="0.2">
      <c r="A14" s="1">
        <v>2036</v>
      </c>
      <c r="B14">
        <v>2892</v>
      </c>
      <c r="C14">
        <v>1118</v>
      </c>
      <c r="D14">
        <v>2866</v>
      </c>
      <c r="E14">
        <v>1095</v>
      </c>
    </row>
    <row r="15" spans="1:5" x14ac:dyDescent="0.2">
      <c r="A15" s="1">
        <v>2037</v>
      </c>
      <c r="B15">
        <v>2947</v>
      </c>
      <c r="C15">
        <v>1171</v>
      </c>
      <c r="D15">
        <v>2912</v>
      </c>
      <c r="E15">
        <v>1141</v>
      </c>
    </row>
    <row r="16" spans="1:5" x14ac:dyDescent="0.2">
      <c r="A16" s="1">
        <v>2038</v>
      </c>
      <c r="B16">
        <v>2996</v>
      </c>
      <c r="C16">
        <v>1226</v>
      </c>
      <c r="D16">
        <v>2952</v>
      </c>
      <c r="E16">
        <v>1187</v>
      </c>
    </row>
    <row r="17" spans="1:5" x14ac:dyDescent="0.2">
      <c r="A17" s="1">
        <v>2039</v>
      </c>
      <c r="B17">
        <v>3039</v>
      </c>
      <c r="C17">
        <v>1282</v>
      </c>
      <c r="D17">
        <v>2983</v>
      </c>
      <c r="E17">
        <v>1232</v>
      </c>
    </row>
    <row r="18" spans="1:5" x14ac:dyDescent="0.2">
      <c r="A18" s="1">
        <v>2040</v>
      </c>
      <c r="B18">
        <v>3074</v>
      </c>
      <c r="C18">
        <v>1338</v>
      </c>
      <c r="D18">
        <v>3006</v>
      </c>
      <c r="E18">
        <v>1277</v>
      </c>
    </row>
    <row r="19" spans="1:5" x14ac:dyDescent="0.2">
      <c r="A19" s="1">
        <v>2041</v>
      </c>
      <c r="B19">
        <v>3095</v>
      </c>
      <c r="C19">
        <v>1396</v>
      </c>
      <c r="D19">
        <v>3013</v>
      </c>
      <c r="E19">
        <v>1321</v>
      </c>
    </row>
    <row r="20" spans="1:5" x14ac:dyDescent="0.2">
      <c r="A20" s="1">
        <v>2042</v>
      </c>
      <c r="B20">
        <v>3109</v>
      </c>
      <c r="C20">
        <v>1454</v>
      </c>
      <c r="D20">
        <v>3011</v>
      </c>
      <c r="E20">
        <v>1364</v>
      </c>
    </row>
    <row r="21" spans="1:5" x14ac:dyDescent="0.2">
      <c r="A21" s="1">
        <v>2043</v>
      </c>
      <c r="B21">
        <v>3117</v>
      </c>
      <c r="C21">
        <v>1512</v>
      </c>
      <c r="D21">
        <v>3000</v>
      </c>
      <c r="E21">
        <v>1406</v>
      </c>
    </row>
    <row r="22" spans="1:5" x14ac:dyDescent="0.2">
      <c r="A22" s="1">
        <v>2044</v>
      </c>
      <c r="B22">
        <v>3117</v>
      </c>
      <c r="C22">
        <v>1571</v>
      </c>
      <c r="D22">
        <v>2981</v>
      </c>
      <c r="E22">
        <v>1446</v>
      </c>
    </row>
    <row r="23" spans="1:5" x14ac:dyDescent="0.2">
      <c r="A23" s="1">
        <v>2045</v>
      </c>
      <c r="B23">
        <v>3112</v>
      </c>
      <c r="C23">
        <v>1630</v>
      </c>
      <c r="D23">
        <v>2954</v>
      </c>
      <c r="E23">
        <v>1485</v>
      </c>
    </row>
    <row r="24" spans="1:5" x14ac:dyDescent="0.2">
      <c r="A24" s="1">
        <v>2046</v>
      </c>
      <c r="B24">
        <v>3101</v>
      </c>
      <c r="C24">
        <v>1689</v>
      </c>
      <c r="D24">
        <v>2921</v>
      </c>
      <c r="E24">
        <v>1523</v>
      </c>
    </row>
    <row r="25" spans="1:5" x14ac:dyDescent="0.2">
      <c r="A25" s="1">
        <v>2047</v>
      </c>
      <c r="B25">
        <v>3087</v>
      </c>
      <c r="C25">
        <v>1748</v>
      </c>
      <c r="D25">
        <v>2882</v>
      </c>
      <c r="E25">
        <v>1559</v>
      </c>
    </row>
    <row r="26" spans="1:5" x14ac:dyDescent="0.2">
      <c r="A26" s="1">
        <v>2048</v>
      </c>
      <c r="B26">
        <v>3069</v>
      </c>
      <c r="C26">
        <v>1807</v>
      </c>
      <c r="D26">
        <v>2838</v>
      </c>
      <c r="E26">
        <v>1593</v>
      </c>
    </row>
    <row r="27" spans="1:5" x14ac:dyDescent="0.2">
      <c r="A27" s="1">
        <v>2049</v>
      </c>
      <c r="B27">
        <v>3048</v>
      </c>
      <c r="C27">
        <v>1865</v>
      </c>
      <c r="D27">
        <v>2792</v>
      </c>
      <c r="E27">
        <v>1626</v>
      </c>
    </row>
    <row r="28" spans="1:5" x14ac:dyDescent="0.2">
      <c r="A28" s="1">
        <v>2050</v>
      </c>
      <c r="B28">
        <v>3026</v>
      </c>
      <c r="C28">
        <v>1923</v>
      </c>
      <c r="D28">
        <v>2743</v>
      </c>
      <c r="E28">
        <v>1658</v>
      </c>
    </row>
    <row r="29" spans="1:5" x14ac:dyDescent="0.2">
      <c r="A29" s="1">
        <v>2051</v>
      </c>
      <c r="B29">
        <v>3004</v>
      </c>
      <c r="C29">
        <v>1981</v>
      </c>
      <c r="D29">
        <v>2693</v>
      </c>
      <c r="E29">
        <v>1688</v>
      </c>
    </row>
    <row r="30" spans="1:5" x14ac:dyDescent="0.2">
      <c r="A30" s="1">
        <v>2052</v>
      </c>
      <c r="B30">
        <v>2981</v>
      </c>
      <c r="C30">
        <v>2037</v>
      </c>
      <c r="D30">
        <v>2643</v>
      </c>
      <c r="E30">
        <v>1717</v>
      </c>
    </row>
    <row r="31" spans="1:5" x14ac:dyDescent="0.2">
      <c r="A31" s="1">
        <v>2053</v>
      </c>
      <c r="B31">
        <v>2960</v>
      </c>
      <c r="C31">
        <v>2093</v>
      </c>
      <c r="D31">
        <v>2594</v>
      </c>
      <c r="E31">
        <v>1746</v>
      </c>
    </row>
    <row r="32" spans="1:5" x14ac:dyDescent="0.2">
      <c r="A32" s="1">
        <v>2054</v>
      </c>
      <c r="B32">
        <v>2941</v>
      </c>
      <c r="C32">
        <v>2148</v>
      </c>
      <c r="D32">
        <v>2548</v>
      </c>
      <c r="E32">
        <v>1773</v>
      </c>
    </row>
    <row r="33" spans="1:8" x14ac:dyDescent="0.2">
      <c r="A33" s="1">
        <v>2055</v>
      </c>
      <c r="B33">
        <v>2924</v>
      </c>
      <c r="C33">
        <v>2201</v>
      </c>
      <c r="D33">
        <v>2504</v>
      </c>
      <c r="E33">
        <v>1800</v>
      </c>
    </row>
    <row r="34" spans="1:8" x14ac:dyDescent="0.2">
      <c r="A34" s="1">
        <v>2056</v>
      </c>
      <c r="B34">
        <v>2909</v>
      </c>
      <c r="C34">
        <v>2254</v>
      </c>
      <c r="D34">
        <v>2464</v>
      </c>
      <c r="E34">
        <v>1826</v>
      </c>
    </row>
    <row r="35" spans="1:8" x14ac:dyDescent="0.2">
      <c r="A35" s="1">
        <v>2057</v>
      </c>
      <c r="B35">
        <v>2897</v>
      </c>
      <c r="C35">
        <v>2304</v>
      </c>
      <c r="D35">
        <v>2428</v>
      </c>
      <c r="E35">
        <v>1853</v>
      </c>
    </row>
    <row r="36" spans="1:8" x14ac:dyDescent="0.2">
      <c r="A36" s="1">
        <v>2058</v>
      </c>
      <c r="B36">
        <v>2888</v>
      </c>
      <c r="C36">
        <v>2354</v>
      </c>
      <c r="D36">
        <v>2397</v>
      </c>
      <c r="E36">
        <v>1879</v>
      </c>
    </row>
    <row r="37" spans="1:8" x14ac:dyDescent="0.2">
      <c r="A37" s="1">
        <v>2059</v>
      </c>
      <c r="B37">
        <v>2881</v>
      </c>
      <c r="C37">
        <v>2402</v>
      </c>
      <c r="D37">
        <v>2370</v>
      </c>
      <c r="E37">
        <v>1905</v>
      </c>
    </row>
    <row r="38" spans="1:8" x14ac:dyDescent="0.2">
      <c r="A38" s="1">
        <v>2060</v>
      </c>
      <c r="B38">
        <v>2877</v>
      </c>
      <c r="C38">
        <v>2448</v>
      </c>
      <c r="D38">
        <v>2348</v>
      </c>
      <c r="E38">
        <v>1931</v>
      </c>
      <c r="G38">
        <f>SUM(B2:B38)-SUM(D2:D38)</f>
        <v>6290</v>
      </c>
      <c r="H38">
        <f>G38/5</f>
        <v>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2C14-CAD7-814C-B930-EC13287C3B9E}">
  <dimension ref="A1:G44"/>
  <sheetViews>
    <sheetView topLeftCell="A7" workbookViewId="0">
      <selection activeCell="F45" sqref="F45"/>
    </sheetView>
  </sheetViews>
  <sheetFormatPr baseColWidth="10" defaultRowHeight="16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2">
      <c r="A2" s="1">
        <v>2024</v>
      </c>
      <c r="B2">
        <v>1577</v>
      </c>
      <c r="C2">
        <v>601</v>
      </c>
      <c r="D2">
        <v>1577</v>
      </c>
      <c r="E2">
        <v>601</v>
      </c>
      <c r="F2">
        <v>1577</v>
      </c>
      <c r="G2">
        <v>601</v>
      </c>
    </row>
    <row r="3" spans="1:7" x14ac:dyDescent="0.2">
      <c r="A3" s="1">
        <v>2025</v>
      </c>
      <c r="B3">
        <v>1753</v>
      </c>
      <c r="C3">
        <v>634</v>
      </c>
      <c r="D3">
        <v>1753</v>
      </c>
      <c r="E3">
        <v>634</v>
      </c>
      <c r="F3">
        <v>1753</v>
      </c>
      <c r="G3">
        <v>634</v>
      </c>
    </row>
    <row r="4" spans="1:7" x14ac:dyDescent="0.2">
      <c r="A4" s="1">
        <v>2026</v>
      </c>
      <c r="B4">
        <v>1945</v>
      </c>
      <c r="C4">
        <v>670</v>
      </c>
      <c r="D4">
        <v>1945</v>
      </c>
      <c r="E4">
        <v>670</v>
      </c>
      <c r="F4">
        <v>1945</v>
      </c>
      <c r="G4">
        <v>670</v>
      </c>
    </row>
    <row r="5" spans="1:7" x14ac:dyDescent="0.2">
      <c r="A5" s="1">
        <v>2027</v>
      </c>
      <c r="B5">
        <v>2002</v>
      </c>
      <c r="C5">
        <v>708</v>
      </c>
      <c r="D5">
        <v>2002</v>
      </c>
      <c r="E5">
        <v>708</v>
      </c>
      <c r="F5">
        <v>2002</v>
      </c>
      <c r="G5">
        <v>708</v>
      </c>
    </row>
    <row r="6" spans="1:7" x14ac:dyDescent="0.2">
      <c r="A6" s="1">
        <v>2028</v>
      </c>
      <c r="B6">
        <v>2062</v>
      </c>
      <c r="C6">
        <v>747</v>
      </c>
      <c r="D6">
        <v>2062</v>
      </c>
      <c r="E6">
        <v>747</v>
      </c>
      <c r="F6">
        <v>2062</v>
      </c>
      <c r="G6">
        <v>747</v>
      </c>
    </row>
    <row r="7" spans="1:7" x14ac:dyDescent="0.2">
      <c r="A7" s="1">
        <v>2029</v>
      </c>
      <c r="B7">
        <v>2124</v>
      </c>
      <c r="C7">
        <v>788</v>
      </c>
      <c r="D7">
        <v>2124</v>
      </c>
      <c r="E7">
        <v>788</v>
      </c>
      <c r="F7">
        <v>2124</v>
      </c>
      <c r="G7">
        <v>788</v>
      </c>
    </row>
    <row r="8" spans="1:7" x14ac:dyDescent="0.2">
      <c r="A8" s="1">
        <v>2030</v>
      </c>
      <c r="B8">
        <v>2186</v>
      </c>
      <c r="C8">
        <v>831</v>
      </c>
      <c r="D8">
        <v>2186</v>
      </c>
      <c r="E8">
        <v>831</v>
      </c>
      <c r="F8">
        <v>2186</v>
      </c>
      <c r="G8">
        <v>831</v>
      </c>
    </row>
    <row r="9" spans="1:7" x14ac:dyDescent="0.2">
      <c r="A9" s="1">
        <v>2031</v>
      </c>
      <c r="B9">
        <v>2248</v>
      </c>
      <c r="C9">
        <v>875</v>
      </c>
      <c r="D9">
        <v>2246</v>
      </c>
      <c r="E9">
        <v>873</v>
      </c>
      <c r="F9">
        <v>2239</v>
      </c>
      <c r="G9">
        <v>866</v>
      </c>
    </row>
    <row r="10" spans="1:7" x14ac:dyDescent="0.2">
      <c r="A10" s="1">
        <v>2032</v>
      </c>
      <c r="B10">
        <v>2311</v>
      </c>
      <c r="C10">
        <v>921</v>
      </c>
      <c r="D10">
        <v>2306</v>
      </c>
      <c r="E10">
        <v>917</v>
      </c>
      <c r="F10">
        <v>2291</v>
      </c>
      <c r="G10">
        <v>902</v>
      </c>
    </row>
    <row r="11" spans="1:7" x14ac:dyDescent="0.2">
      <c r="A11" s="1">
        <v>2033</v>
      </c>
      <c r="B11">
        <v>2371</v>
      </c>
      <c r="C11">
        <v>968</v>
      </c>
      <c r="D11">
        <v>2364</v>
      </c>
      <c r="E11">
        <v>961</v>
      </c>
      <c r="F11">
        <v>2340</v>
      </c>
      <c r="G11">
        <v>936</v>
      </c>
    </row>
    <row r="12" spans="1:7" x14ac:dyDescent="0.2">
      <c r="A12" s="1">
        <v>2034</v>
      </c>
      <c r="B12">
        <v>2431</v>
      </c>
      <c r="C12">
        <v>1017</v>
      </c>
      <c r="D12">
        <v>2420</v>
      </c>
      <c r="E12">
        <v>1005</v>
      </c>
      <c r="F12">
        <v>2385</v>
      </c>
      <c r="G12">
        <v>971</v>
      </c>
    </row>
    <row r="13" spans="1:7" x14ac:dyDescent="0.2">
      <c r="A13" s="1">
        <v>2035</v>
      </c>
      <c r="B13">
        <v>2533</v>
      </c>
      <c r="C13">
        <v>1067</v>
      </c>
      <c r="D13">
        <v>2516</v>
      </c>
      <c r="E13">
        <v>1050</v>
      </c>
      <c r="F13">
        <v>2469</v>
      </c>
      <c r="G13">
        <v>1004</v>
      </c>
    </row>
    <row r="14" spans="1:7" x14ac:dyDescent="0.2">
      <c r="A14" s="1">
        <v>2036</v>
      </c>
      <c r="B14">
        <v>2892</v>
      </c>
      <c r="C14">
        <v>1118</v>
      </c>
      <c r="D14">
        <v>2866</v>
      </c>
      <c r="E14">
        <v>1095</v>
      </c>
      <c r="F14">
        <v>2799</v>
      </c>
      <c r="G14">
        <v>1037</v>
      </c>
    </row>
    <row r="15" spans="1:7" x14ac:dyDescent="0.2">
      <c r="A15" s="1">
        <v>2037</v>
      </c>
      <c r="B15">
        <v>2947</v>
      </c>
      <c r="C15">
        <v>1171</v>
      </c>
      <c r="D15">
        <v>2912</v>
      </c>
      <c r="E15">
        <v>1141</v>
      </c>
      <c r="F15">
        <v>2829</v>
      </c>
      <c r="G15">
        <v>1068</v>
      </c>
    </row>
    <row r="16" spans="1:7" x14ac:dyDescent="0.2">
      <c r="A16" s="1">
        <v>2038</v>
      </c>
      <c r="B16">
        <v>2996</v>
      </c>
      <c r="C16">
        <v>1226</v>
      </c>
      <c r="D16">
        <v>2952</v>
      </c>
      <c r="E16">
        <v>1187</v>
      </c>
      <c r="F16">
        <v>2852</v>
      </c>
      <c r="G16">
        <v>1097</v>
      </c>
    </row>
    <row r="17" spans="1:7" x14ac:dyDescent="0.2">
      <c r="A17" s="1">
        <v>2039</v>
      </c>
      <c r="B17">
        <v>3039</v>
      </c>
      <c r="C17">
        <v>1282</v>
      </c>
      <c r="D17">
        <v>2983</v>
      </c>
      <c r="E17">
        <v>1232</v>
      </c>
      <c r="F17">
        <v>2864</v>
      </c>
      <c r="G17">
        <v>1125</v>
      </c>
    </row>
    <row r="18" spans="1:7" x14ac:dyDescent="0.2">
      <c r="A18" s="1">
        <v>2040</v>
      </c>
      <c r="B18">
        <v>3074</v>
      </c>
      <c r="C18">
        <v>1338</v>
      </c>
      <c r="D18">
        <v>3006</v>
      </c>
      <c r="E18">
        <v>1277</v>
      </c>
      <c r="F18">
        <v>2867</v>
      </c>
      <c r="G18">
        <v>1152</v>
      </c>
    </row>
    <row r="19" spans="1:7" x14ac:dyDescent="0.2">
      <c r="A19" s="1">
        <v>2041</v>
      </c>
      <c r="B19">
        <v>3095</v>
      </c>
      <c r="C19">
        <v>1396</v>
      </c>
      <c r="D19">
        <v>3013</v>
      </c>
      <c r="E19">
        <v>1321</v>
      </c>
      <c r="F19">
        <v>2853</v>
      </c>
      <c r="G19">
        <v>1176</v>
      </c>
    </row>
    <row r="20" spans="1:7" x14ac:dyDescent="0.2">
      <c r="A20" s="1">
        <v>2042</v>
      </c>
      <c r="B20">
        <v>3109</v>
      </c>
      <c r="C20">
        <v>1454</v>
      </c>
      <c r="D20">
        <v>3011</v>
      </c>
      <c r="E20">
        <v>1364</v>
      </c>
      <c r="F20">
        <v>2830</v>
      </c>
      <c r="G20">
        <v>1198</v>
      </c>
    </row>
    <row r="21" spans="1:7" x14ac:dyDescent="0.2">
      <c r="A21" s="1">
        <v>2043</v>
      </c>
      <c r="B21">
        <v>3117</v>
      </c>
      <c r="C21">
        <v>1512</v>
      </c>
      <c r="D21">
        <v>3000</v>
      </c>
      <c r="E21">
        <v>1406</v>
      </c>
      <c r="F21">
        <v>2797</v>
      </c>
      <c r="G21">
        <v>1219</v>
      </c>
    </row>
    <row r="22" spans="1:7" x14ac:dyDescent="0.2">
      <c r="A22" s="1">
        <v>2044</v>
      </c>
      <c r="B22">
        <v>3117</v>
      </c>
      <c r="C22">
        <v>1571</v>
      </c>
      <c r="D22">
        <v>2981</v>
      </c>
      <c r="E22">
        <v>1446</v>
      </c>
      <c r="F22">
        <v>2755</v>
      </c>
      <c r="G22">
        <v>1237</v>
      </c>
    </row>
    <row r="23" spans="1:7" x14ac:dyDescent="0.2">
      <c r="A23" s="1">
        <v>2045</v>
      </c>
      <c r="B23">
        <v>3112</v>
      </c>
      <c r="C23">
        <v>1630</v>
      </c>
      <c r="D23">
        <v>2954</v>
      </c>
      <c r="E23">
        <v>1485</v>
      </c>
      <c r="F23">
        <v>2706</v>
      </c>
      <c r="G23">
        <v>1253</v>
      </c>
    </row>
    <row r="24" spans="1:7" x14ac:dyDescent="0.2">
      <c r="A24" s="1">
        <v>2046</v>
      </c>
      <c r="B24">
        <v>3101</v>
      </c>
      <c r="C24">
        <v>1689</v>
      </c>
      <c r="D24">
        <v>2921</v>
      </c>
      <c r="E24">
        <v>1523</v>
      </c>
      <c r="F24">
        <v>2649</v>
      </c>
      <c r="G24">
        <v>1268</v>
      </c>
    </row>
    <row r="25" spans="1:7" x14ac:dyDescent="0.2">
      <c r="A25" s="1">
        <v>2047</v>
      </c>
      <c r="B25">
        <v>3087</v>
      </c>
      <c r="C25">
        <v>1748</v>
      </c>
      <c r="D25">
        <v>2882</v>
      </c>
      <c r="E25">
        <v>1559</v>
      </c>
      <c r="F25">
        <v>2588</v>
      </c>
      <c r="G25">
        <v>1282</v>
      </c>
    </row>
    <row r="26" spans="1:7" x14ac:dyDescent="0.2">
      <c r="A26" s="1">
        <v>2048</v>
      </c>
      <c r="B26">
        <v>3069</v>
      </c>
      <c r="C26">
        <v>1807</v>
      </c>
      <c r="D26">
        <v>2838</v>
      </c>
      <c r="E26">
        <v>1593</v>
      </c>
      <c r="F26">
        <v>2522</v>
      </c>
      <c r="G26">
        <v>1294</v>
      </c>
    </row>
    <row r="27" spans="1:7" x14ac:dyDescent="0.2">
      <c r="A27" s="1">
        <v>2049</v>
      </c>
      <c r="B27">
        <v>3048</v>
      </c>
      <c r="C27">
        <v>1865</v>
      </c>
      <c r="D27">
        <v>2792</v>
      </c>
      <c r="E27">
        <v>1626</v>
      </c>
      <c r="F27">
        <v>2453</v>
      </c>
      <c r="G27">
        <v>1305</v>
      </c>
    </row>
    <row r="28" spans="1:7" x14ac:dyDescent="0.2">
      <c r="A28" s="1">
        <v>2050</v>
      </c>
      <c r="B28">
        <v>3026</v>
      </c>
      <c r="C28">
        <v>1923</v>
      </c>
      <c r="D28">
        <v>2743</v>
      </c>
      <c r="E28">
        <v>1658</v>
      </c>
      <c r="F28">
        <v>2384</v>
      </c>
      <c r="G28">
        <v>1316</v>
      </c>
    </row>
    <row r="29" spans="1:7" x14ac:dyDescent="0.2">
      <c r="A29" s="1">
        <v>2051</v>
      </c>
      <c r="B29">
        <v>3004</v>
      </c>
      <c r="C29">
        <v>1981</v>
      </c>
      <c r="D29">
        <v>2693</v>
      </c>
      <c r="E29">
        <v>1688</v>
      </c>
      <c r="F29">
        <v>2315</v>
      </c>
      <c r="G29">
        <v>1327</v>
      </c>
    </row>
    <row r="30" spans="1:7" x14ac:dyDescent="0.2">
      <c r="A30" s="1">
        <v>2052</v>
      </c>
      <c r="B30">
        <v>2981</v>
      </c>
      <c r="C30">
        <v>2037</v>
      </c>
      <c r="D30">
        <v>2643</v>
      </c>
      <c r="E30">
        <v>1717</v>
      </c>
      <c r="F30">
        <v>2248</v>
      </c>
      <c r="G30">
        <v>1338</v>
      </c>
    </row>
    <row r="31" spans="1:7" x14ac:dyDescent="0.2">
      <c r="A31" s="1">
        <v>2053</v>
      </c>
      <c r="B31">
        <v>2960</v>
      </c>
      <c r="C31">
        <v>2093</v>
      </c>
      <c r="D31">
        <v>2594</v>
      </c>
      <c r="E31">
        <v>1746</v>
      </c>
      <c r="F31">
        <v>2184</v>
      </c>
      <c r="G31">
        <v>1350</v>
      </c>
    </row>
    <row r="32" spans="1:7" x14ac:dyDescent="0.2">
      <c r="A32" s="1">
        <v>2054</v>
      </c>
      <c r="B32">
        <v>2941</v>
      </c>
      <c r="C32">
        <v>2148</v>
      </c>
      <c r="D32">
        <v>2548</v>
      </c>
      <c r="E32">
        <v>1773</v>
      </c>
      <c r="F32">
        <v>2124</v>
      </c>
      <c r="G32">
        <v>1363</v>
      </c>
    </row>
    <row r="33" spans="1:7" x14ac:dyDescent="0.2">
      <c r="A33" s="1">
        <v>2055</v>
      </c>
      <c r="B33">
        <v>2924</v>
      </c>
      <c r="C33">
        <v>2201</v>
      </c>
      <c r="D33">
        <v>2504</v>
      </c>
      <c r="E33">
        <v>1800</v>
      </c>
      <c r="F33">
        <v>2070</v>
      </c>
      <c r="G33">
        <v>1378</v>
      </c>
    </row>
    <row r="34" spans="1:7" x14ac:dyDescent="0.2">
      <c r="A34" s="1">
        <v>2056</v>
      </c>
      <c r="B34">
        <v>2909</v>
      </c>
      <c r="C34">
        <v>2254</v>
      </c>
      <c r="D34">
        <v>2464</v>
      </c>
      <c r="E34">
        <v>1826</v>
      </c>
      <c r="F34">
        <v>2022</v>
      </c>
      <c r="G34">
        <v>1394</v>
      </c>
    </row>
    <row r="35" spans="1:7" x14ac:dyDescent="0.2">
      <c r="A35" s="1">
        <v>2057</v>
      </c>
      <c r="B35">
        <v>2897</v>
      </c>
      <c r="C35">
        <v>2304</v>
      </c>
      <c r="D35">
        <v>2428</v>
      </c>
      <c r="E35">
        <v>1853</v>
      </c>
      <c r="F35">
        <v>1981</v>
      </c>
      <c r="G35">
        <v>1413</v>
      </c>
    </row>
    <row r="36" spans="1:7" x14ac:dyDescent="0.2">
      <c r="A36" s="1">
        <v>2058</v>
      </c>
      <c r="B36">
        <v>2888</v>
      </c>
      <c r="C36">
        <v>2354</v>
      </c>
      <c r="D36">
        <v>2397</v>
      </c>
      <c r="E36">
        <v>1879</v>
      </c>
      <c r="F36">
        <v>1946</v>
      </c>
      <c r="G36">
        <v>1435</v>
      </c>
    </row>
    <row r="37" spans="1:7" x14ac:dyDescent="0.2">
      <c r="A37" s="1">
        <v>2059</v>
      </c>
      <c r="B37">
        <v>2881</v>
      </c>
      <c r="C37">
        <v>2402</v>
      </c>
      <c r="D37">
        <v>2370</v>
      </c>
      <c r="E37">
        <v>1905</v>
      </c>
      <c r="F37">
        <v>1920</v>
      </c>
      <c r="G37">
        <v>1459</v>
      </c>
    </row>
    <row r="38" spans="1:7" x14ac:dyDescent="0.2">
      <c r="A38" s="1">
        <v>2060</v>
      </c>
      <c r="B38">
        <v>2877</v>
      </c>
      <c r="C38">
        <v>2448</v>
      </c>
      <c r="D38">
        <v>2348</v>
      </c>
      <c r="E38">
        <v>1931</v>
      </c>
      <c r="F38">
        <v>1900</v>
      </c>
      <c r="G38">
        <v>1486</v>
      </c>
    </row>
    <row r="40" spans="1:7" x14ac:dyDescent="0.2">
      <c r="B40">
        <f>SUM(B2:B38)</f>
        <v>100634</v>
      </c>
      <c r="C40">
        <f t="shared" ref="C40:G40" si="0">SUM(C2:C38)</f>
        <v>54779</v>
      </c>
      <c r="D40">
        <f t="shared" si="0"/>
        <v>94344</v>
      </c>
      <c r="E40">
        <f t="shared" si="0"/>
        <v>48816</v>
      </c>
      <c r="F40">
        <f t="shared" si="0"/>
        <v>86831</v>
      </c>
      <c r="G40">
        <f t="shared" si="0"/>
        <v>41628</v>
      </c>
    </row>
    <row r="42" spans="1:7" x14ac:dyDescent="0.2">
      <c r="B42">
        <v>0</v>
      </c>
      <c r="D42">
        <f>B40-D40</f>
        <v>6290</v>
      </c>
      <c r="F42">
        <f>B40-F40</f>
        <v>13803</v>
      </c>
    </row>
    <row r="44" spans="1:7" x14ac:dyDescent="0.2">
      <c r="D44">
        <f>D42/5</f>
        <v>1258</v>
      </c>
      <c r="F44">
        <f>F42/10</f>
        <v>1380.3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planes</vt:lpstr>
      <vt:lpstr>titanium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Ghirlandi, S. (Stefano)</dc:creator>
  <cp:lastModifiedBy>Stefano Ghirlandi</cp:lastModifiedBy>
  <dcterms:created xsi:type="dcterms:W3CDTF">2025-07-06T13:41:46Z</dcterms:created>
  <dcterms:modified xsi:type="dcterms:W3CDTF">2026-01-16T09:46:34Z</dcterms:modified>
</cp:coreProperties>
</file>